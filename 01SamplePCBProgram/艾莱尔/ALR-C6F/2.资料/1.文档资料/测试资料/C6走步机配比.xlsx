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8280"/>
  </bookViews>
  <sheets>
    <sheet name="计算公式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<sst xmlns="http://schemas.openxmlformats.org/spreadsheetml/2006/main" count="17" uniqueCount="17">
  <si>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C6电动走步机跑台配比参数</t>
  </si>
  <si>
    <t>速度（km/h)</t>
  </si>
  <si>
    <t>马达转速 rpm</t>
  </si>
  <si>
    <r>
      <t>滚筒皮带盘（</t>
    </r>
    <r>
      <rPr>
        <b/>
        <sz val="11"/>
        <color rgb="FFFF0000"/>
        <rFont val="宋体"/>
        <charset val="134"/>
      </rPr>
      <t>¢</t>
    </r>
    <r>
      <rPr>
        <b/>
        <sz val="11"/>
        <color rgb="FFFF0000"/>
        <rFont val="宋体"/>
        <charset val="134"/>
        <scheme val="minor"/>
      </rPr>
      <t>）</t>
    </r>
  </si>
  <si>
    <t>马达皮带盘（¢）</t>
  </si>
  <si>
    <t>滚筒直径</t>
  </si>
  <si>
    <t>跑带厚度</t>
  </si>
  <si>
    <t>π</t>
  </si>
  <si>
    <t>电机与皮带轮减速比（K)</t>
  </si>
  <si>
    <t>滚筒的周长L（米）</t>
  </si>
  <si>
    <t>皮带轮转速 rpm</t>
  </si>
  <si>
    <t>滚筒的转速(转/小时）</t>
  </si>
  <si>
    <t>跑步机最大速度（Km/h)</t>
  </si>
  <si>
    <t>配比</t>
  </si>
  <si>
    <r>
      <rPr>
        <sz val="11"/>
        <color theme="1"/>
        <rFont val="宋体"/>
        <charset val="134"/>
      </rPr>
      <t>速度（英里</t>
    </r>
    <r>
      <rPr>
        <sz val="11"/>
        <color theme="1"/>
        <rFont val="Wingdings"/>
        <charset val="134"/>
      </rPr>
      <t>/</t>
    </r>
    <r>
      <rPr>
        <sz val="11"/>
        <color theme="1"/>
        <rFont val="宋体"/>
        <charset val="134"/>
      </rPr>
      <t>小时）</t>
    </r>
  </si>
  <si>
    <t>跑台宽度（mm）</t>
  </si>
  <si>
    <t>承载（Kg）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</si>
</sst>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微软雅黑"/>
      <charset val="134"/>
    </font>
    <font>
      <b/>
      <sz val="12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Wingdings"/>
      <charset val="134"/>
    </font>
    <font>
      <b/>
      <sz val="11"/>
      <color rgb="FF00206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top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77470</xdr:colOff>
      <xdr:row>0</xdr:row>
      <xdr:rowOff>69850</xdr:rowOff>
    </xdr:from>
    <xdr:to>
      <xdr:col>0</xdr:col>
      <xdr:colOff>1761490</xdr:colOff>
      <xdr:row>0</xdr:row>
      <xdr:rowOff>1221740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7470" y="69850"/>
          <a:ext cx="1684020" cy="11518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workbookViewId="0">
      <selection activeCell="C10" sqref="C10"/>
    </sheetView>
  </sheetViews>
  <sheetFormatPr defaultColWidth="9" defaultRowHeight="13.5" outlineLevelCol="6"/>
  <cols>
    <col min="1" max="1" width="23.125" customWidth="1"/>
    <col min="2" max="2" width="17.25" customWidth="1"/>
    <col min="3" max="4" width="17.625" customWidth="1"/>
    <col min="5" max="5" width="23.75" customWidth="1"/>
    <col min="6" max="7" width="19.875" customWidth="1"/>
  </cols>
  <sheetData>
    <row r="1" ht="102" customHeight="1" spans="1:7">
      <c r="A1" s="2" t="s">
        <v>0</v>
      </c>
      <c r="B1" s="2"/>
      <c r="C1" s="2"/>
      <c r="D1" s="2"/>
      <c r="E1" s="2"/>
      <c r="F1" s="2"/>
      <c r="G1" s="2"/>
    </row>
    <row r="2" ht="25" customHeight="1" spans="1:7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</row>
    <row r="3" ht="25" customHeight="1" spans="1:7">
      <c r="A3" s="3">
        <f>B3*A5*60*B5*0.001</f>
        <v>1.28127373986316</v>
      </c>
      <c r="B3" s="6">
        <v>600</v>
      </c>
      <c r="C3" s="4">
        <v>76</v>
      </c>
      <c r="D3" s="7">
        <v>21</v>
      </c>
      <c r="E3" s="4">
        <v>38</v>
      </c>
      <c r="F3" s="4">
        <v>1.6</v>
      </c>
      <c r="G3" s="5">
        <v>3.1415926</v>
      </c>
    </row>
    <row r="4" ht="25" customHeight="1" spans="1:7">
      <c r="A4" s="8" t="s">
        <v>8</v>
      </c>
      <c r="B4" s="3" t="s">
        <v>9</v>
      </c>
      <c r="C4" s="3" t="s">
        <v>10</v>
      </c>
      <c r="D4" s="8" t="s">
        <v>11</v>
      </c>
      <c r="E4" s="3" t="s">
        <v>12</v>
      </c>
      <c r="F4" s="3" t="s">
        <v>13</v>
      </c>
      <c r="G4" s="9" t="s">
        <v>14</v>
      </c>
    </row>
    <row r="5" ht="25" customHeight="1" spans="1:7">
      <c r="A5" s="10">
        <f>D3/C3</f>
        <v>0.276315789473684</v>
      </c>
      <c r="B5" s="10">
        <f>2*G3*(E3+3)/2/1000</f>
        <v>0.1288052966</v>
      </c>
      <c r="C5" s="10">
        <f>B3*A5</f>
        <v>165.789473684211</v>
      </c>
      <c r="D5" s="10"/>
      <c r="E5" s="10"/>
      <c r="F5" s="4">
        <f>C3/D3</f>
        <v>3.61904761904762</v>
      </c>
      <c r="G5" s="11">
        <f>A3/1.609344</f>
        <v>0.796146591321158</v>
      </c>
    </row>
    <row r="6" s="1" customFormat="1" ht="29" customHeight="1" spans="1:7">
      <c r="A6" s="12" t="s">
        <v>15</v>
      </c>
      <c r="B6" s="12" t="s">
        <v>16</v>
      </c>
      <c r="C6" s="13"/>
      <c r="D6" s="13"/>
      <c r="E6" s="13"/>
      <c r="F6" s="13"/>
      <c r="G6" s="13"/>
    </row>
    <row r="7" s="1" customFormat="1" ht="24" customHeight="1" spans="1:7">
      <c r="A7" s="14">
        <v>400</v>
      </c>
      <c r="B7" s="14">
        <v>130</v>
      </c>
      <c r="C7" s="15"/>
      <c r="D7" s="15"/>
      <c r="E7" s="15"/>
      <c r="F7" s="15"/>
      <c r="G7" s="16"/>
    </row>
    <row r="8" s="1" customFormat="1" ht="24" customHeight="1" spans="1:7">
      <c r="A8" s="17"/>
      <c r="B8" s="18"/>
      <c r="C8" s="18"/>
      <c r="D8" s="19"/>
      <c r="E8" s="18"/>
      <c r="F8" s="18"/>
      <c r="G8" s="20"/>
    </row>
    <row r="9" s="1" customFormat="1" ht="24" customHeight="1" spans="1:7">
      <c r="A9" s="17"/>
      <c r="B9" s="17"/>
      <c r="C9" s="17"/>
      <c r="D9" s="17"/>
      <c r="E9" s="17"/>
      <c r="F9" s="17"/>
      <c r="G9" s="21"/>
    </row>
    <row r="10" s="1" customFormat="1" ht="24" customHeight="1" spans="1:7">
      <c r="A10" s="22"/>
      <c r="B10" s="22"/>
      <c r="C10" s="22"/>
      <c r="D10" s="22"/>
      <c r="E10" s="22"/>
      <c r="F10" s="18"/>
      <c r="G10" s="22"/>
    </row>
    <row r="11" s="1" customFormat="1" ht="24" customHeight="1" spans="1:7">
      <c r="A11" s="23"/>
      <c r="B11" s="23"/>
      <c r="C11" s="23"/>
      <c r="D11" s="23"/>
      <c r="E11" s="23"/>
      <c r="F11" s="23"/>
      <c r="G11" s="23"/>
    </row>
    <row r="12" s="1" customFormat="1" ht="24" customHeight="1" spans="1:7">
      <c r="A12" s="23"/>
      <c r="B12" s="23"/>
      <c r="C12" s="18"/>
      <c r="D12" s="18"/>
      <c r="E12" s="24"/>
      <c r="F12" s="24"/>
      <c r="G12" s="24"/>
    </row>
    <row r="13" s="1" customFormat="1" ht="24" customHeight="1" spans="1:7">
      <c r="A13" s="23"/>
      <c r="B13" s="23"/>
      <c r="C13" s="18"/>
      <c r="D13" s="18"/>
      <c r="E13" s="22"/>
      <c r="F13" s="18"/>
      <c r="G13" s="18"/>
    </row>
    <row r="14" s="1" customFormat="1" ht="24" customHeight="1" spans="1:7">
      <c r="A14" s="23"/>
      <c r="B14" s="23"/>
      <c r="C14" s="18"/>
      <c r="D14" s="18"/>
      <c r="E14" s="22"/>
      <c r="F14" s="18"/>
      <c r="G14" s="18"/>
    </row>
    <row r="15" s="1" customFormat="1" ht="24" customHeight="1" spans="1:7">
      <c r="A15" s="23"/>
      <c r="B15" s="23"/>
      <c r="C15" s="18"/>
      <c r="D15" s="18"/>
      <c r="E15" s="22"/>
      <c r="F15" s="18"/>
      <c r="G15" s="18"/>
    </row>
    <row r="16" s="1" customFormat="1" ht="24" customHeight="1" spans="1:7">
      <c r="A16" s="23"/>
      <c r="B16" s="23"/>
      <c r="C16" s="18"/>
      <c r="D16" s="18"/>
      <c r="E16" s="22"/>
      <c r="F16" s="18"/>
      <c r="G16" s="18"/>
    </row>
    <row r="17" s="1" customFormat="1" ht="24" customHeight="1" spans="1:7">
      <c r="A17" s="23"/>
      <c r="B17" s="23"/>
      <c r="C17" s="18"/>
      <c r="D17" s="18"/>
      <c r="E17" s="22"/>
      <c r="F17" s="18"/>
      <c r="G17" s="18"/>
    </row>
    <row r="18" s="1" customFormat="1" ht="24" customHeight="1" spans="1:7">
      <c r="A18" s="23"/>
      <c r="B18" s="23"/>
      <c r="C18" s="18"/>
      <c r="D18" s="18"/>
      <c r="E18" s="22"/>
      <c r="F18" s="18"/>
      <c r="G18" s="18"/>
    </row>
    <row r="19" s="1" customFormat="1" ht="24" customHeight="1" spans="1:7">
      <c r="A19" s="17"/>
      <c r="B19" s="17"/>
      <c r="C19" s="18"/>
      <c r="D19" s="18"/>
      <c r="E19" s="17"/>
      <c r="F19" s="18"/>
      <c r="G19" s="18"/>
    </row>
    <row r="20" s="1" customFormat="1" ht="24" customHeight="1" spans="1:7">
      <c r="A20" s="17"/>
      <c r="B20" s="17"/>
      <c r="C20" s="18"/>
      <c r="D20" s="18"/>
      <c r="E20" s="17"/>
      <c r="F20" s="18"/>
      <c r="G20" s="18"/>
    </row>
    <row r="21" s="1" customFormat="1" ht="24" customHeight="1" spans="1:7">
      <c r="A21" s="17"/>
      <c r="B21" s="17"/>
      <c r="C21" s="18"/>
      <c r="D21" s="18"/>
      <c r="E21" s="17"/>
      <c r="F21" s="18"/>
      <c r="G21" s="18"/>
    </row>
    <row r="22" s="1" customFormat="1" ht="24" customHeight="1" spans="1:7">
      <c r="A22" s="17"/>
      <c r="B22" s="17"/>
      <c r="C22" s="18"/>
      <c r="D22" s="18"/>
      <c r="E22" s="17"/>
      <c r="F22" s="18"/>
      <c r="G22" s="18"/>
    </row>
    <row r="23" s="1" customFormat="1" ht="24" customHeight="1" spans="1:7">
      <c r="A23" s="17"/>
      <c r="B23" s="17"/>
      <c r="C23" s="18"/>
      <c r="D23" s="18"/>
      <c r="E23" s="17"/>
      <c r="F23" s="18"/>
      <c r="G23" s="18"/>
    </row>
    <row r="24" s="1" customFormat="1" ht="24" customHeight="1" spans="1:7">
      <c r="A24" s="17"/>
      <c r="B24" s="17"/>
      <c r="C24" s="18"/>
      <c r="D24" s="18"/>
      <c r="E24" s="17"/>
      <c r="F24" s="18"/>
      <c r="G24" s="18"/>
    </row>
    <row r="25" ht="27" customHeight="1" spans="5:5">
      <c r="E25" s="25"/>
    </row>
    <row r="26" ht="27" customHeight="1"/>
  </sheetData>
  <mergeCells count="1">
    <mergeCell ref="A1:G1"/>
  </mergeCells>
  <printOptions horizontalCentered="1"/>
  <pageMargins left="0.357638888888889" right="0.357638888888889" top="0.802777777777778" bottom="0.2125" header="0.10625" footer="0.10625"/>
  <pageSetup paperSize="9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计算公式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影子</cp:lastModifiedBy>
  <dcterms:created xsi:type="dcterms:W3CDTF">2021-06-07T17:05:00Z</dcterms:created>
  <dcterms:modified xsi:type="dcterms:W3CDTF">2024-12-17T09:05:45Z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9DD3780B19654C918FAABF0BD24A1BB8_13</vt:lpwstr>
  </property>
</Properties>
</file>